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codeName="ThisWorkbook"/>
  <xr:revisionPtr revIDLastSave="0" documentId="8_{71EAECE4-B6B7-4B56-B632-35B0C17B59E3}" xr6:coauthVersionLast="47" xr6:coauthVersionMax="47" xr10:uidLastSave="{00000000-0000-0000-0000-000000000000}"/>
  <bookViews>
    <workbookView xWindow="-120" yWindow="-120" windowWidth="29040" windowHeight="17640" xr2:uid="{00000000-000D-0000-FFFF-FFFF00000000}"/>
  </bookViews>
  <sheets>
    <sheet name="ProjectSchedule" sheetId="11" r:id="rId1"/>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11" l="1"/>
  <c r="F15" i="11"/>
  <c r="F14" i="11"/>
  <c r="F13" i="11"/>
  <c r="F12" i="11"/>
  <c r="F11" i="11"/>
  <c r="H7" i="11"/>
  <c r="E9" i="11" l="1"/>
  <c r="H28" i="11" l="1"/>
  <c r="F9" i="11"/>
  <c r="I5" i="11"/>
  <c r="H42" i="11"/>
  <c r="H41" i="11"/>
  <c r="H40" i="11"/>
  <c r="H39" i="11"/>
  <c r="H38" i="11"/>
  <c r="H37" i="11"/>
  <c r="H35" i="11"/>
  <c r="H27" i="11"/>
  <c r="H26" i="11"/>
  <c r="H17" i="11"/>
  <c r="H8" i="11"/>
  <c r="H9" i="11" l="1"/>
  <c r="I6" i="11"/>
  <c r="H36" i="11" l="1"/>
  <c r="H34" i="11"/>
  <c r="H10" i="11"/>
  <c r="H29" i="11"/>
  <c r="H18" i="11"/>
  <c r="H16" i="11"/>
  <c r="J5" i="11"/>
  <c r="K5" i="11" s="1"/>
  <c r="L5" i="11" s="1"/>
  <c r="M5" i="11" s="1"/>
  <c r="N5" i="11" s="1"/>
  <c r="O5" i="11" s="1"/>
  <c r="P5" i="11" s="1"/>
  <c r="I4" i="11"/>
  <c r="H30" i="11" l="1"/>
  <c r="H19" i="11"/>
  <c r="H11" i="11"/>
  <c r="H12" i="11"/>
  <c r="P4" i="11"/>
  <c r="Q5" i="11"/>
  <c r="R5" i="11" s="1"/>
  <c r="S5" i="11" s="1"/>
  <c r="T5" i="11" s="1"/>
  <c r="U5" i="11" s="1"/>
  <c r="V5" i="11" s="1"/>
  <c r="W5" i="11" s="1"/>
  <c r="J6" i="11"/>
  <c r="H25" i="11" l="1"/>
  <c r="H24" i="11"/>
  <c r="H20"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<sst xmlns="http://schemas.openxmlformats.org/spreadsheetml/2006/main" count="228" uniqueCount="50">
  <si>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</si>
  <si>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</si>
  <si>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</si>
  <si>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</si>
  <si>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</si>
  <si>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</si>
  <si>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</si>
  <si>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</si>
  <si>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</si>
  <si>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</si>
  <si>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</si>
  <si>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</si>
  <si>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</si>
  <si>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</si>
  <si>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TASK</t>
  </si>
  <si>
    <t>Insert new rows ABOVE this one</t>
  </si>
  <si>
    <t>Project Start:</t>
  </si>
  <si>
    <t>Display Week:</t>
  </si>
  <si>
    <t>ASSIGNED
TO</t>
  </si>
  <si>
    <t>PROGRESS</t>
  </si>
  <si>
    <t>START</t>
  </si>
  <si>
    <t>END</t>
  </si>
  <si>
    <t>DAYS</t>
  </si>
  <si>
    <t>Geographical Web Interface</t>
  </si>
  <si>
    <t>Bradford Metropolitan Council</t>
  </si>
  <si>
    <t xml:space="preserve">Phase 2 of Project </t>
  </si>
  <si>
    <t>Daanyaal Mohammed</t>
  </si>
  <si>
    <t>Rayees Khan</t>
  </si>
  <si>
    <t>Muhammad Mokal</t>
  </si>
  <si>
    <t>Sahil Nadeem</t>
  </si>
  <si>
    <t>Ahmad Rafay</t>
  </si>
  <si>
    <t xml:space="preserve">Muhammad Mansoor </t>
  </si>
  <si>
    <t>Feroz Raja</t>
  </si>
  <si>
    <t>Hamza Albahani</t>
  </si>
  <si>
    <t>Development of User Admin</t>
  </si>
  <si>
    <t>Website Development</t>
  </si>
  <si>
    <t>Phase 1 of Project Deadline 7th March</t>
  </si>
  <si>
    <t>Development of Admin System</t>
  </si>
  <si>
    <t xml:space="preserve">Email verifying &amp; MFA </t>
  </si>
  <si>
    <t>UML Cases</t>
  </si>
  <si>
    <t xml:space="preserve">Completed Website </t>
  </si>
  <si>
    <t>Completed MFA &amp; Verification</t>
  </si>
  <si>
    <t>Completed Admin System</t>
  </si>
  <si>
    <t>Mapping system &amp; Frontend</t>
  </si>
  <si>
    <t>Created Backend for Map</t>
  </si>
  <si>
    <t>Completed Map &amp; Frontend</t>
  </si>
  <si>
    <t>Completed Backend for Map</t>
  </si>
  <si>
    <t>Completed User Admin</t>
  </si>
  <si>
    <t>Completed UML Case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</si>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</sst>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69696"/>
        <bgColor indexed="64"/>
      </patternFill>
    </fill>
    <fill>
      <patternFill patternType="solid">
        <fgColor theme="0"/>
        <bgColor indexed="64"/>
      </patternFill>
    </fill>
    <fill>
      <patternFill patternType="solid">
        <fgColor theme="1"/>
        <bgColor indexed="64"/>
      </patternFill>
    </fill>
  </fills>
  <borders count="20">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tint="-0.14996795556505021"/>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2" borderId="0" applyNumberFormat="0" applyBorder="0" applyAlignment="0" applyProtection="0"/>
    <xf numFmtId="0" fontId="22" fillId="13" borderId="0" applyNumberFormat="0" applyBorder="0" applyAlignment="0" applyProtection="0"/>
    <xf numFmtId="0" fontId="23" fillId="14" borderId="0" applyNumberFormat="0" applyBorder="0" applyAlignment="0" applyProtection="0"/>
    <xf numFmtId="0" fontId="24" fillId="15" borderId="11" applyNumberFormat="0" applyAlignment="0" applyProtection="0"/>
    <xf numFmtId="0" fontId="25" fillId="16" borderId="12" applyNumberFormat="0" applyAlignment="0" applyProtection="0"/>
    <xf numFmtId="0" fontId="26" fillId="16" borderId="11" applyNumberFormat="0" applyAlignment="0" applyProtection="0"/>
    <xf numFmtId="0" fontId="27" fillId="0" borderId="13" applyNumberFormat="0" applyFill="0" applyAlignment="0" applyProtection="0"/>
    <xf numFmtId="0" fontId="28" fillId="17" borderId="14" applyNumberFormat="0" applyAlignment="0" applyProtection="0"/>
    <xf numFmtId="0" fontId="29" fillId="0" borderId="0" applyNumberFormat="0" applyFill="0" applyBorder="0" applyAlignment="0" applyProtection="0"/>
    <xf numFmtId="0" fontId="9" fillId="18"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16"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16"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16"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16"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16"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cellStyleXfs>
  <cellXfs count="85">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1" borderId="1" xfId="0" applyFont="1" applyFill="1" applyBorder="1" applyAlignment="1">
      <alignment horizontal="left" vertical="center" indent="1"/>
    </xf>
    <xf numFmtId="0" fontId="7" fillId="11" borderId="1" xfId="0" applyFont="1" applyFill="1" applyBorder="1" applyAlignment="1">
      <alignment horizontal="center" vertical="center" wrapText="1"/>
    </xf>
    <xf numFmtId="0" fontId="12" fillId="10"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5" borderId="2" xfId="11" applyFill="1">
      <alignment horizontal="center" vertical="center"/>
    </xf>
    <xf numFmtId="0" fontId="9" fillId="9"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9"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7" fontId="0" fillId="7" borderId="2" xfId="0" applyNumberFormat="1" applyFill="1" applyBorder="1" applyAlignment="1">
      <alignment horizontal="center" vertical="center"/>
    </xf>
    <xf numFmtId="167" fontId="5" fillId="7" borderId="2" xfId="0" applyNumberFormat="1" applyFont="1" applyFill="1" applyBorder="1" applyAlignment="1">
      <alignment horizontal="center" vertical="center"/>
    </xf>
    <xf numFmtId="167" fontId="9" fillId="3" borderId="2" xfId="10" applyFill="1">
      <alignment horizontal="center" vertical="center"/>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4"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9"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8" fontId="11" fillId="6" borderId="6" xfId="0" applyNumberFormat="1" applyFont="1" applyFill="1" applyBorder="1" applyAlignment="1">
      <alignment horizontal="center" vertical="center"/>
    </xf>
    <xf numFmtId="168" fontId="11" fillId="6" borderId="0" xfId="0" applyNumberFormat="1" applyFont="1" applyFill="1" applyAlignment="1">
      <alignment horizontal="center" vertical="center"/>
    </xf>
    <xf numFmtId="168" fontId="11" fillId="6" borderId="7" xfId="0" applyNumberFormat="1" applyFont="1" applyFill="1" applyBorder="1" applyAlignment="1">
      <alignment horizontal="center" vertical="center"/>
    </xf>
    <xf numFmtId="0" fontId="9" fillId="3" borderId="17" xfId="12" applyFill="1" applyBorder="1" applyAlignment="1">
      <alignment horizontal="center" vertical="center"/>
    </xf>
    <xf numFmtId="0" fontId="0" fillId="0" borderId="18" xfId="0" applyBorder="1" applyAlignment="1">
      <alignment vertical="center"/>
    </xf>
    <xf numFmtId="0" fontId="0" fillId="0" borderId="2" xfId="0" applyBorder="1" applyAlignment="1">
      <alignment vertical="center"/>
    </xf>
    <xf numFmtId="0" fontId="0" fillId="43" borderId="2" xfId="0" applyFill="1" applyBorder="1" applyAlignment="1">
      <alignment vertical="center"/>
    </xf>
    <xf numFmtId="0" fontId="0" fillId="43" borderId="19" xfId="0" applyFill="1" applyBorder="1" applyAlignment="1">
      <alignment vertical="center"/>
    </xf>
    <xf numFmtId="0" fontId="0" fillId="44" borderId="2" xfId="0" applyFill="1" applyBorder="1" applyAlignment="1">
      <alignment vertical="center"/>
    </xf>
    <xf numFmtId="0" fontId="0" fillId="43" borderId="18" xfId="0" applyFill="1" applyBorder="1" applyAlignment="1">
      <alignment vertical="center"/>
    </xf>
    <xf numFmtId="0" fontId="9" fillId="0" borderId="0" xfId="8">
      <alignment horizontal="right" indent="1"/>
    </xf>
    <xf numFmtId="0" fontId="9" fillId="0" borderId="7" xfId="8" applyBorder="1">
      <alignment horizontal="right" indent="1"/>
    </xf>
    <xf numFmtId="169" fontId="0" fillId="6" borderId="4" xfId="0" applyNumberFormat="1" applyFill="1" applyBorder="1" applyAlignment="1">
      <alignment horizontal="left" vertical="center" wrapText="1" indent="1"/>
    </xf>
    <xf numFmtId="169" fontId="0" fillId="6" borderId="1" xfId="0" applyNumberFormat="1" applyFill="1" applyBorder="1" applyAlignment="1">
      <alignment horizontal="left" vertical="center" wrapText="1" indent="1"/>
    </xf>
    <xf numFmtId="169" fontId="0" fillId="6" borderId="5" xfId="0" applyNumberFormat="1" applyFill="1" applyBorder="1" applyAlignment="1">
      <alignment horizontal="left" vertical="center" wrapText="1" indent="1"/>
    </xf>
    <xf numFmtId="166" fontId="9" fillId="0" borderId="3" xfId="9">
      <alignment horizontal="center" vertical="center"/>
    </xf>
    <xf numFmtId="0" fontId="5" fillId="45" borderId="9" xfId="0" applyFont="1" applyFill="1" applyBorder="1" applyAlignment="1">
      <alignment vertical="center"/>
    </xf>
    <xf numFmtId="0" fontId="0" fillId="44" borderId="9" xfId="0" applyFill="1" applyBorder="1" applyAlignment="1">
      <alignment vertical="center"/>
    </xf>
    <xf numFmtId="0" fontId="0" fillId="45" borderId="9" xfId="0" applyFill="1" applyBorder="1" applyAlignment="1">
      <alignment vertical="center"/>
    </xf>
    <xf numFmtId="0" fontId="0" fillId="43" borderId="0" xfId="0" applyFill="1" applyAlignment="1">
      <alignment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8">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69696"/>
      <color rgb="FF215881"/>
      <color rgb="FF42648A"/>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3"/>
  <sheetViews>
    <sheetView showGridLines="0" tabSelected="1" showRuler="0" zoomScaleNormal="100" zoomScalePageLayoutView="70" workbookViewId="0">
      <pane ySplit="6" topLeftCell="A8" activePane="bottomLeft" state="frozen"/>
      <selection pane="bottomLeft" activeCell="P25" sqref="P25"/>
    </sheetView>
  </sheetViews>
  <sheetFormatPr defaultColWidth="8.85546875" defaultRowHeight="30" customHeight="1" x14ac:dyDescent="0.25"/>
  <cols>
    <col min="1" max="1" width="2.7109375" style="32" customWidth="1"/>
    <col min="2" max="2" width="30.570312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42578125" customWidth="1"/>
    <col min="69" max="70" width="10.28515625"/>
  </cols>
  <sheetData>
    <row r="1" spans="1:64" ht="30" customHeight="1" x14ac:dyDescent="0.45">
      <c r="A1" s="33" t="s">
        <v>0</v>
      </c>
      <c r="B1" s="36" t="s">
        <v>23</v>
      </c>
      <c r="C1" s="1"/>
      <c r="D1" s="2"/>
      <c r="E1" s="4"/>
      <c r="F1" s="31"/>
      <c r="H1" s="2"/>
      <c r="I1" s="51"/>
    </row>
    <row r="2" spans="1:64" ht="30" customHeight="1" x14ac:dyDescent="0.3">
      <c r="A2" s="32" t="s">
        <v>1</v>
      </c>
      <c r="B2" s="37" t="s">
        <v>24</v>
      </c>
      <c r="I2" s="52"/>
    </row>
    <row r="3" spans="1:64" ht="30" customHeight="1" x14ac:dyDescent="0.25">
      <c r="A3" s="32" t="s">
        <v>2</v>
      </c>
      <c r="B3" s="38"/>
      <c r="C3" s="75" t="s">
        <v>16</v>
      </c>
      <c r="D3" s="76"/>
      <c r="E3" s="80">
        <v>45692</v>
      </c>
      <c r="F3" s="80"/>
    </row>
    <row r="4" spans="1:64" ht="30" customHeight="1" x14ac:dyDescent="0.25">
      <c r="A4" s="33" t="s">
        <v>3</v>
      </c>
      <c r="C4" s="75" t="s">
        <v>17</v>
      </c>
      <c r="D4" s="76"/>
      <c r="E4" s="7">
        <v>1</v>
      </c>
      <c r="I4" s="77">
        <f>I5</f>
        <v>45691</v>
      </c>
      <c r="J4" s="78"/>
      <c r="K4" s="78"/>
      <c r="L4" s="78"/>
      <c r="M4" s="78"/>
      <c r="N4" s="78"/>
      <c r="O4" s="79"/>
      <c r="P4" s="77">
        <f>P5</f>
        <v>45698</v>
      </c>
      <c r="Q4" s="78"/>
      <c r="R4" s="78"/>
      <c r="S4" s="78"/>
      <c r="T4" s="78"/>
      <c r="U4" s="78"/>
      <c r="V4" s="79"/>
      <c r="W4" s="77">
        <f>W5</f>
        <v>45705</v>
      </c>
      <c r="X4" s="78"/>
      <c r="Y4" s="78"/>
      <c r="Z4" s="78"/>
      <c r="AA4" s="78"/>
      <c r="AB4" s="78"/>
      <c r="AC4" s="79"/>
      <c r="AD4" s="77">
        <f>AD5</f>
        <v>45712</v>
      </c>
      <c r="AE4" s="78"/>
      <c r="AF4" s="78"/>
      <c r="AG4" s="78"/>
      <c r="AH4" s="78"/>
      <c r="AI4" s="78"/>
      <c r="AJ4" s="79"/>
      <c r="AK4" s="77">
        <f>AK5</f>
        <v>45719</v>
      </c>
      <c r="AL4" s="78"/>
      <c r="AM4" s="78"/>
      <c r="AN4" s="78"/>
      <c r="AO4" s="78"/>
      <c r="AP4" s="78"/>
      <c r="AQ4" s="79"/>
      <c r="AR4" s="77">
        <f>AR5</f>
        <v>45726</v>
      </c>
      <c r="AS4" s="78"/>
      <c r="AT4" s="78"/>
      <c r="AU4" s="78"/>
      <c r="AV4" s="78"/>
      <c r="AW4" s="78"/>
      <c r="AX4" s="79"/>
      <c r="AY4" s="77">
        <f>AY5</f>
        <v>45733</v>
      </c>
      <c r="AZ4" s="78"/>
      <c r="BA4" s="78"/>
      <c r="BB4" s="78"/>
      <c r="BC4" s="78"/>
      <c r="BD4" s="78"/>
      <c r="BE4" s="79"/>
      <c r="BF4" s="77">
        <f>BF5</f>
        <v>45740</v>
      </c>
      <c r="BG4" s="78"/>
      <c r="BH4" s="78"/>
      <c r="BI4" s="78"/>
      <c r="BJ4" s="78"/>
      <c r="BK4" s="78"/>
      <c r="BL4" s="79"/>
    </row>
    <row r="5" spans="1:64" ht="15" customHeight="1" x14ac:dyDescent="0.25">
      <c r="A5" s="33" t="s">
        <v>4</v>
      </c>
      <c r="B5" s="50"/>
      <c r="C5" s="50"/>
      <c r="D5" s="50"/>
      <c r="E5" s="50"/>
      <c r="F5" s="50"/>
      <c r="G5" s="50"/>
      <c r="I5" s="65">
        <f>Project_Start-WEEKDAY(Project_Start,1)+2+7*(Display_Week-1)</f>
        <v>45691</v>
      </c>
      <c r="J5" s="66">
        <f>I5+1</f>
        <v>45692</v>
      </c>
      <c r="K5" s="66">
        <f t="shared" ref="K5:AX5" si="0">J5+1</f>
        <v>45693</v>
      </c>
      <c r="L5" s="66">
        <f t="shared" si="0"/>
        <v>45694</v>
      </c>
      <c r="M5" s="66">
        <f t="shared" si="0"/>
        <v>45695</v>
      </c>
      <c r="N5" s="66">
        <f t="shared" si="0"/>
        <v>45696</v>
      </c>
      <c r="O5" s="67">
        <f t="shared" si="0"/>
        <v>45697</v>
      </c>
      <c r="P5" s="65">
        <f>O5+1</f>
        <v>45698</v>
      </c>
      <c r="Q5" s="66">
        <f>P5+1</f>
        <v>45699</v>
      </c>
      <c r="R5" s="66">
        <f t="shared" si="0"/>
        <v>45700</v>
      </c>
      <c r="S5" s="66">
        <f t="shared" si="0"/>
        <v>45701</v>
      </c>
      <c r="T5" s="66">
        <f t="shared" si="0"/>
        <v>45702</v>
      </c>
      <c r="U5" s="66">
        <f t="shared" si="0"/>
        <v>45703</v>
      </c>
      <c r="V5" s="67">
        <f t="shared" si="0"/>
        <v>45704</v>
      </c>
      <c r="W5" s="65">
        <f>V5+1</f>
        <v>45705</v>
      </c>
      <c r="X5" s="66">
        <f>W5+1</f>
        <v>45706</v>
      </c>
      <c r="Y5" s="66">
        <f t="shared" si="0"/>
        <v>45707</v>
      </c>
      <c r="Z5" s="66">
        <f t="shared" si="0"/>
        <v>45708</v>
      </c>
      <c r="AA5" s="66">
        <f t="shared" si="0"/>
        <v>45709</v>
      </c>
      <c r="AB5" s="66">
        <f t="shared" si="0"/>
        <v>45710</v>
      </c>
      <c r="AC5" s="67">
        <f t="shared" si="0"/>
        <v>45711</v>
      </c>
      <c r="AD5" s="65">
        <f>AC5+1</f>
        <v>45712</v>
      </c>
      <c r="AE5" s="66">
        <f>AD5+1</f>
        <v>45713</v>
      </c>
      <c r="AF5" s="66">
        <f t="shared" si="0"/>
        <v>45714</v>
      </c>
      <c r="AG5" s="66">
        <f t="shared" si="0"/>
        <v>45715</v>
      </c>
      <c r="AH5" s="66">
        <f t="shared" si="0"/>
        <v>45716</v>
      </c>
      <c r="AI5" s="66">
        <f t="shared" si="0"/>
        <v>45717</v>
      </c>
      <c r="AJ5" s="67">
        <f t="shared" si="0"/>
        <v>45718</v>
      </c>
      <c r="AK5" s="65">
        <f>AJ5+1</f>
        <v>45719</v>
      </c>
      <c r="AL5" s="66">
        <f>AK5+1</f>
        <v>45720</v>
      </c>
      <c r="AM5" s="66">
        <f t="shared" si="0"/>
        <v>45721</v>
      </c>
      <c r="AN5" s="66">
        <f t="shared" si="0"/>
        <v>45722</v>
      </c>
      <c r="AO5" s="66">
        <f t="shared" si="0"/>
        <v>45723</v>
      </c>
      <c r="AP5" s="66">
        <f t="shared" si="0"/>
        <v>45724</v>
      </c>
      <c r="AQ5" s="67">
        <f t="shared" si="0"/>
        <v>45725</v>
      </c>
      <c r="AR5" s="65">
        <f>AQ5+1</f>
        <v>45726</v>
      </c>
      <c r="AS5" s="66">
        <f>AR5+1</f>
        <v>45727</v>
      </c>
      <c r="AT5" s="66">
        <f t="shared" si="0"/>
        <v>45728</v>
      </c>
      <c r="AU5" s="66">
        <f t="shared" si="0"/>
        <v>45729</v>
      </c>
      <c r="AV5" s="66">
        <f t="shared" si="0"/>
        <v>45730</v>
      </c>
      <c r="AW5" s="66">
        <f t="shared" si="0"/>
        <v>45731</v>
      </c>
      <c r="AX5" s="67">
        <f t="shared" si="0"/>
        <v>45732</v>
      </c>
      <c r="AY5" s="65">
        <f>AX5+1</f>
        <v>45733</v>
      </c>
      <c r="AZ5" s="66">
        <f>AY5+1</f>
        <v>45734</v>
      </c>
      <c r="BA5" s="66">
        <f t="shared" ref="BA5:BE5" si="1">AZ5+1</f>
        <v>45735</v>
      </c>
      <c r="BB5" s="66">
        <f t="shared" si="1"/>
        <v>45736</v>
      </c>
      <c r="BC5" s="66">
        <f t="shared" si="1"/>
        <v>45737</v>
      </c>
      <c r="BD5" s="66">
        <f t="shared" si="1"/>
        <v>45738</v>
      </c>
      <c r="BE5" s="67">
        <f t="shared" si="1"/>
        <v>45739</v>
      </c>
      <c r="BF5" s="65">
        <f>BE5+1</f>
        <v>45740</v>
      </c>
      <c r="BG5" s="66">
        <f>BF5+1</f>
        <v>45741</v>
      </c>
      <c r="BH5" s="66">
        <f t="shared" ref="BH5:BL5" si="2">BG5+1</f>
        <v>45742</v>
      </c>
      <c r="BI5" s="66">
        <f t="shared" si="2"/>
        <v>45743</v>
      </c>
      <c r="BJ5" s="66">
        <f t="shared" si="2"/>
        <v>45744</v>
      </c>
      <c r="BK5" s="66">
        <f t="shared" si="2"/>
        <v>45745</v>
      </c>
      <c r="BL5" s="67">
        <f t="shared" si="2"/>
        <v>45746</v>
      </c>
    </row>
    <row r="6" spans="1:64" ht="30" customHeight="1" thickBot="1" x14ac:dyDescent="0.3">
      <c r="A6" s="33" t="s">
        <v>5</v>
      </c>
      <c r="B6" s="8" t="s">
        <v>14</v>
      </c>
      <c r="C6" s="9" t="s">
        <v>18</v>
      </c>
      <c r="D6" s="9" t="s">
        <v>19</v>
      </c>
      <c r="E6" s="9" t="s">
        <v>20</v>
      </c>
      <c r="F6" s="9" t="s">
        <v>21</v>
      </c>
      <c r="G6" s="9"/>
      <c r="H6" s="9" t="s">
        <v>22</v>
      </c>
      <c r="I6" s="10" t="str">
        <f t="shared" ref="I6" si="3">LEFT(TEXT(I5,"ddd"),1)</f>
        <v>M</v>
      </c>
      <c r="J6" s="10" t="str">
        <f t="shared" ref="J6:AR6" si="4">LEFT(TEXT(J5,"ddd"),1)</f>
        <v>T</v>
      </c>
      <c r="K6" s="10" t="str">
        <f t="shared" si="4"/>
        <v>W</v>
      </c>
      <c r="L6" s="10" t="str">
        <f t="shared" si="4"/>
        <v>T</v>
      </c>
      <c r="M6" s="10" t="str">
        <f t="shared" si="4"/>
        <v>F</v>
      </c>
      <c r="N6" s="10" t="str">
        <f t="shared" si="4"/>
        <v>S</v>
      </c>
      <c r="O6" s="10" t="str">
        <f t="shared" si="4"/>
        <v>S</v>
      </c>
      <c r="P6" s="10" t="str">
        <f t="shared" si="4"/>
        <v>M</v>
      </c>
      <c r="Q6" s="10" t="str">
        <f t="shared" si="4"/>
        <v>T</v>
      </c>
      <c r="R6" s="10" t="str">
        <f t="shared" si="4"/>
        <v>W</v>
      </c>
      <c r="S6" s="10" t="str">
        <f t="shared" si="4"/>
        <v>T</v>
      </c>
      <c r="T6" s="10" t="str">
        <f t="shared" si="4"/>
        <v>F</v>
      </c>
      <c r="U6" s="10" t="str">
        <f t="shared" si="4"/>
        <v>S</v>
      </c>
      <c r="V6" s="10" t="str">
        <f t="shared" si="4"/>
        <v>S</v>
      </c>
      <c r="W6" s="10" t="str">
        <f t="shared" si="4"/>
        <v>M</v>
      </c>
      <c r="X6" s="10" t="str">
        <f t="shared" si="4"/>
        <v>T</v>
      </c>
      <c r="Y6" s="10" t="str">
        <f t="shared" si="4"/>
        <v>W</v>
      </c>
      <c r="Z6" s="10" t="str">
        <f t="shared" si="4"/>
        <v>T</v>
      </c>
      <c r="AA6" s="10" t="str">
        <f t="shared" si="4"/>
        <v>F</v>
      </c>
      <c r="AB6" s="10" t="str">
        <f t="shared" si="4"/>
        <v>S</v>
      </c>
      <c r="AC6" s="10" t="str">
        <f t="shared" si="4"/>
        <v>S</v>
      </c>
      <c r="AD6" s="10" t="str">
        <f t="shared" si="4"/>
        <v>M</v>
      </c>
      <c r="AE6" s="10" t="str">
        <f t="shared" si="4"/>
        <v>T</v>
      </c>
      <c r="AF6" s="10" t="str">
        <f t="shared" si="4"/>
        <v>W</v>
      </c>
      <c r="AG6" s="10" t="str">
        <f t="shared" si="4"/>
        <v>T</v>
      </c>
      <c r="AH6" s="10" t="str">
        <f t="shared" si="4"/>
        <v>F</v>
      </c>
      <c r="AI6" s="10" t="str">
        <f t="shared" si="4"/>
        <v>S</v>
      </c>
      <c r="AJ6" s="10" t="str">
        <f t="shared" si="4"/>
        <v>S</v>
      </c>
      <c r="AK6" s="10" t="str">
        <f t="shared" si="4"/>
        <v>M</v>
      </c>
      <c r="AL6" s="10" t="str">
        <f t="shared" si="4"/>
        <v>T</v>
      </c>
      <c r="AM6" s="10" t="str">
        <f t="shared" si="4"/>
        <v>W</v>
      </c>
      <c r="AN6" s="10" t="str">
        <f t="shared" si="4"/>
        <v>T</v>
      </c>
      <c r="AO6" s="10" t="str">
        <f t="shared" si="4"/>
        <v>F</v>
      </c>
      <c r="AP6" s="10" t="str">
        <f t="shared" si="4"/>
        <v>S</v>
      </c>
      <c r="AQ6" s="10" t="str">
        <f t="shared" si="4"/>
        <v>S</v>
      </c>
      <c r="AR6" s="10" t="str">
        <f t="shared" si="4"/>
        <v>M</v>
      </c>
      <c r="AS6" s="10" t="str">
        <f t="shared" ref="AS6:BL6" si="5">LEFT(TEXT(AS5,"ddd"),1)</f>
        <v>T</v>
      </c>
      <c r="AT6" s="10" t="str">
        <f t="shared" si="5"/>
        <v>W</v>
      </c>
      <c r="AU6" s="10" t="str">
        <f t="shared" si="5"/>
        <v>T</v>
      </c>
      <c r="AV6" s="10" t="str">
        <f t="shared" si="5"/>
        <v>F</v>
      </c>
      <c r="AW6" s="10" t="str">
        <f t="shared" si="5"/>
        <v>S</v>
      </c>
      <c r="AX6" s="10" t="str">
        <f t="shared" si="5"/>
        <v>S</v>
      </c>
      <c r="AY6" s="10" t="str">
        <f t="shared" si="5"/>
        <v>M</v>
      </c>
      <c r="AZ6" s="10" t="str">
        <f t="shared" si="5"/>
        <v>T</v>
      </c>
      <c r="BA6" s="10" t="str">
        <f t="shared" si="5"/>
        <v>W</v>
      </c>
      <c r="BB6" s="10" t="str">
        <f t="shared" si="5"/>
        <v>T</v>
      </c>
      <c r="BC6" s="10" t="str">
        <f t="shared" si="5"/>
        <v>F</v>
      </c>
      <c r="BD6" s="10" t="str">
        <f t="shared" si="5"/>
        <v>S</v>
      </c>
      <c r="BE6" s="10" t="str">
        <f t="shared" si="5"/>
        <v>S</v>
      </c>
      <c r="BF6" s="10" t="str">
        <f t="shared" si="5"/>
        <v>M</v>
      </c>
      <c r="BG6" s="10" t="str">
        <f t="shared" si="5"/>
        <v>T</v>
      </c>
      <c r="BH6" s="10" t="str">
        <f t="shared" si="5"/>
        <v>W</v>
      </c>
      <c r="BI6" s="10" t="str">
        <f t="shared" si="5"/>
        <v>T</v>
      </c>
      <c r="BJ6" s="10" t="str">
        <f t="shared" si="5"/>
        <v>F</v>
      </c>
      <c r="BK6" s="10" t="str">
        <f t="shared" si="5"/>
        <v>S</v>
      </c>
      <c r="BL6" s="10" t="str">
        <f t="shared" si="5"/>
        <v>S</v>
      </c>
    </row>
    <row r="7" spans="1:64" ht="30" hidden="1" customHeight="1" thickBot="1" x14ac:dyDescent="0.3">
      <c r="A7" s="32" t="s">
        <v>6</v>
      </c>
      <c r="C7" s="35"/>
      <c r="E7"/>
      <c r="H7"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64" s="3" customFormat="1" ht="30" customHeight="1" thickBot="1" x14ac:dyDescent="0.3">
      <c r="A8" s="33" t="s">
        <v>7</v>
      </c>
      <c r="B8" s="15" t="s">
        <v>36</v>
      </c>
      <c r="C8" s="39"/>
      <c r="D8" s="16"/>
      <c r="E8" s="53"/>
      <c r="F8" s="54"/>
      <c r="G8" s="14"/>
      <c r="H8" s="14" t="str">
        <f t="shared" ref="H8:H42" si="6">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row>
    <row r="9" spans="1:64" s="3" customFormat="1" ht="30" customHeight="1" thickBot="1" x14ac:dyDescent="0.3">
      <c r="A9" s="33" t="s">
        <v>8</v>
      </c>
      <c r="B9" s="68" t="s">
        <v>35</v>
      </c>
      <c r="C9" s="40" t="s">
        <v>27</v>
      </c>
      <c r="D9" s="17">
        <v>0.5</v>
      </c>
      <c r="E9" s="55">
        <f>Project_Start</f>
        <v>45692</v>
      </c>
      <c r="F9" s="55">
        <f>E9+3</f>
        <v>45695</v>
      </c>
      <c r="G9" s="14"/>
      <c r="H9" s="14">
        <f t="shared" si="6"/>
        <v>4</v>
      </c>
      <c r="I9" s="28"/>
      <c r="J9" s="74"/>
      <c r="K9" s="71"/>
      <c r="L9" s="71"/>
      <c r="M9" s="70"/>
      <c r="N9" s="70"/>
      <c r="O9" s="73"/>
      <c r="P9" s="70"/>
      <c r="Q9" s="71"/>
      <c r="R9" s="71"/>
      <c r="S9" s="71"/>
      <c r="T9" s="73"/>
      <c r="U9" s="70"/>
      <c r="V9" s="70"/>
      <c r="W9" s="73"/>
      <c r="X9" s="71"/>
      <c r="Y9" s="71"/>
      <c r="Z9" s="71"/>
      <c r="AA9" s="70"/>
      <c r="AB9" s="73"/>
      <c r="AC9" s="73"/>
      <c r="AD9" s="73"/>
      <c r="AE9" s="71"/>
      <c r="AF9" s="71"/>
      <c r="AG9" s="71"/>
      <c r="AH9" s="73"/>
      <c r="AI9" s="73"/>
      <c r="AJ9" s="73"/>
      <c r="AK9" s="70"/>
      <c r="AL9" s="71"/>
      <c r="AM9" s="71"/>
      <c r="AN9" s="71"/>
      <c r="AO9" s="72"/>
      <c r="AP9" s="28"/>
      <c r="AQ9" s="28"/>
      <c r="AR9" s="28"/>
      <c r="AS9" s="28"/>
      <c r="AT9" s="28"/>
      <c r="AU9" s="28"/>
      <c r="AV9" s="28"/>
      <c r="AW9" s="28"/>
      <c r="AX9" s="28"/>
      <c r="AY9" s="28"/>
      <c r="AZ9" s="28"/>
      <c r="BA9" s="28"/>
      <c r="BB9" s="28"/>
      <c r="BC9" s="28"/>
      <c r="BD9" s="28"/>
      <c r="BE9" s="28"/>
      <c r="BF9" s="28"/>
      <c r="BG9" s="28"/>
      <c r="BH9" s="28"/>
      <c r="BI9" s="28"/>
      <c r="BJ9" s="28"/>
      <c r="BK9" s="28"/>
      <c r="BL9" s="28"/>
    </row>
    <row r="10" spans="1:64" s="3" customFormat="1" ht="30" customHeight="1" thickBot="1" x14ac:dyDescent="0.3">
      <c r="A10" s="33" t="s">
        <v>9</v>
      </c>
      <c r="B10" s="68" t="s">
        <v>38</v>
      </c>
      <c r="C10" s="40" t="s">
        <v>26</v>
      </c>
      <c r="D10" s="17">
        <v>0.4</v>
      </c>
      <c r="E10" s="55">
        <v>45692</v>
      </c>
      <c r="F10" s="55">
        <v>45695</v>
      </c>
      <c r="G10" s="14"/>
      <c r="H10" s="14">
        <f t="shared" si="6"/>
        <v>4</v>
      </c>
      <c r="I10" s="28"/>
      <c r="J10" s="69"/>
      <c r="K10" s="71"/>
      <c r="L10" s="71"/>
      <c r="M10" s="73"/>
      <c r="N10" s="73"/>
      <c r="O10" s="70"/>
      <c r="P10" s="73"/>
      <c r="Q10" s="71"/>
      <c r="R10" s="71"/>
      <c r="S10" s="71"/>
      <c r="T10" s="70"/>
      <c r="U10" s="70"/>
      <c r="V10" s="70"/>
      <c r="W10" s="73"/>
      <c r="X10" s="71"/>
      <c r="Y10" s="71"/>
      <c r="Z10" s="71"/>
      <c r="AA10" s="70"/>
      <c r="AB10" s="70"/>
      <c r="AC10" s="70"/>
      <c r="AD10" s="73"/>
      <c r="AE10" s="71"/>
      <c r="AF10" s="71"/>
      <c r="AG10" s="71"/>
      <c r="AH10" s="70"/>
      <c r="AI10" s="70"/>
      <c r="AJ10" s="70"/>
      <c r="AK10" s="73"/>
      <c r="AL10" s="71"/>
      <c r="AM10" s="71"/>
      <c r="AN10" s="71"/>
      <c r="AO10" s="72"/>
      <c r="AP10" s="28"/>
      <c r="AQ10" s="28"/>
      <c r="AR10" s="28"/>
      <c r="AS10" s="28"/>
      <c r="AT10" s="28"/>
      <c r="AU10" s="28"/>
      <c r="AV10" s="28"/>
      <c r="AW10" s="28"/>
      <c r="AX10" s="28"/>
      <c r="AY10" s="28"/>
      <c r="AZ10" s="28"/>
      <c r="BA10" s="28"/>
      <c r="BB10" s="28"/>
      <c r="BC10" s="28"/>
      <c r="BD10" s="28"/>
      <c r="BE10" s="28"/>
      <c r="BF10" s="28"/>
      <c r="BG10" s="28"/>
      <c r="BH10" s="28"/>
      <c r="BI10" s="28"/>
      <c r="BJ10" s="28"/>
      <c r="BK10" s="28"/>
      <c r="BL10" s="28"/>
    </row>
    <row r="11" spans="1:64" s="3" customFormat="1" ht="30" customHeight="1" thickBot="1" x14ac:dyDescent="0.3">
      <c r="A11" s="32"/>
      <c r="B11" s="46" t="s">
        <v>37</v>
      </c>
      <c r="C11" s="40" t="s">
        <v>28</v>
      </c>
      <c r="D11" s="17">
        <v>0.45</v>
      </c>
      <c r="E11" s="55">
        <v>45692</v>
      </c>
      <c r="F11" s="55">
        <f t="shared" ref="F11:F16" si="7">E11+3</f>
        <v>45695</v>
      </c>
      <c r="G11" s="14"/>
      <c r="H11" s="14">
        <f t="shared" si="6"/>
        <v>4</v>
      </c>
      <c r="I11" s="28"/>
      <c r="J11" s="69"/>
      <c r="K11" s="71"/>
      <c r="L11" s="71"/>
      <c r="M11" s="70"/>
      <c r="N11" s="70"/>
      <c r="O11" s="73"/>
      <c r="P11" s="73"/>
      <c r="Q11" s="71"/>
      <c r="R11" s="71"/>
      <c r="S11" s="71"/>
      <c r="T11" s="70"/>
      <c r="U11" s="70"/>
      <c r="V11" s="73"/>
      <c r="W11" s="73"/>
      <c r="X11" s="71"/>
      <c r="Y11" s="71"/>
      <c r="Z11" s="71"/>
      <c r="AA11" s="70"/>
      <c r="AB11" s="73"/>
      <c r="AC11" s="73"/>
      <c r="AD11" s="73"/>
      <c r="AE11" s="71"/>
      <c r="AF11" s="71"/>
      <c r="AG11" s="71"/>
      <c r="AH11" s="73"/>
      <c r="AI11" s="73"/>
      <c r="AJ11" s="70"/>
      <c r="AK11" s="70"/>
      <c r="AL11" s="71"/>
      <c r="AM11" s="71"/>
      <c r="AN11" s="71"/>
      <c r="AO11" s="72"/>
      <c r="AP11" s="28"/>
      <c r="AQ11" s="28"/>
      <c r="AR11" s="28"/>
      <c r="AS11" s="28"/>
      <c r="AT11" s="28"/>
      <c r="AU11" s="28"/>
      <c r="AV11" s="28"/>
      <c r="AW11" s="28"/>
      <c r="AX11" s="28"/>
      <c r="AY11" s="28"/>
      <c r="AZ11" s="28"/>
      <c r="BA11" s="28"/>
      <c r="BB11" s="28"/>
      <c r="BC11" s="28"/>
      <c r="BD11" s="28"/>
      <c r="BE11" s="28"/>
      <c r="BF11" s="28"/>
      <c r="BG11" s="28"/>
      <c r="BH11" s="28"/>
      <c r="BI11" s="28"/>
      <c r="BJ11" s="28"/>
      <c r="BK11" s="28"/>
      <c r="BL11" s="28"/>
    </row>
    <row r="12" spans="1:64" s="3" customFormat="1" ht="30" customHeight="1" thickBot="1" x14ac:dyDescent="0.3">
      <c r="A12" s="32"/>
      <c r="B12" s="46" t="s">
        <v>43</v>
      </c>
      <c r="C12" s="40" t="s">
        <v>29</v>
      </c>
      <c r="D12" s="17">
        <v>0.6</v>
      </c>
      <c r="E12" s="55">
        <v>45692</v>
      </c>
      <c r="F12" s="55">
        <f t="shared" si="7"/>
        <v>45695</v>
      </c>
      <c r="G12" s="14"/>
      <c r="H12" s="14">
        <f t="shared" si="6"/>
        <v>4</v>
      </c>
      <c r="I12" s="28"/>
      <c r="J12" s="69"/>
      <c r="K12" s="71"/>
      <c r="L12" s="71"/>
      <c r="M12" s="73"/>
      <c r="N12" s="73"/>
      <c r="O12" s="73"/>
      <c r="P12" s="70"/>
      <c r="Q12" s="71"/>
      <c r="R12" s="71"/>
      <c r="S12" s="71"/>
      <c r="T12" s="73"/>
      <c r="U12" s="70"/>
      <c r="V12" s="73"/>
      <c r="W12" s="73"/>
      <c r="X12" s="71"/>
      <c r="Y12" s="71"/>
      <c r="Z12" s="71"/>
      <c r="AA12" s="70"/>
      <c r="AB12" s="73"/>
      <c r="AC12" s="73"/>
      <c r="AD12" s="73"/>
      <c r="AE12" s="71"/>
      <c r="AF12" s="71"/>
      <c r="AG12" s="71"/>
      <c r="AH12" s="70"/>
      <c r="AI12" s="73"/>
      <c r="AJ12" s="73"/>
      <c r="AK12" s="70"/>
      <c r="AL12" s="71"/>
      <c r="AM12" s="71"/>
      <c r="AN12" s="71"/>
      <c r="AO12" s="72"/>
      <c r="AP12" s="28"/>
      <c r="AQ12" s="28"/>
      <c r="AR12" s="28"/>
      <c r="AS12" s="28"/>
      <c r="AT12" s="28"/>
      <c r="AU12" s="28"/>
      <c r="AV12" s="28"/>
      <c r="AW12" s="28"/>
      <c r="AX12" s="28"/>
      <c r="AY12" s="28"/>
      <c r="AZ12" s="28"/>
      <c r="BA12" s="28"/>
      <c r="BB12" s="28"/>
      <c r="BC12" s="28"/>
      <c r="BD12" s="28"/>
      <c r="BE12" s="28"/>
      <c r="BF12" s="28"/>
      <c r="BG12" s="28"/>
      <c r="BH12" s="28"/>
      <c r="BI12" s="28"/>
      <c r="BJ12" s="28"/>
      <c r="BK12" s="28"/>
      <c r="BL12" s="28"/>
    </row>
    <row r="13" spans="1:64" s="3" customFormat="1" ht="30" customHeight="1" thickBot="1" x14ac:dyDescent="0.3">
      <c r="A13" s="32"/>
      <c r="B13" s="46" t="s">
        <v>44</v>
      </c>
      <c r="C13" s="40" t="s">
        <v>30</v>
      </c>
      <c r="D13" s="17">
        <v>0.4</v>
      </c>
      <c r="E13" s="55">
        <v>45692</v>
      </c>
      <c r="F13" s="55">
        <f t="shared" si="7"/>
        <v>45695</v>
      </c>
      <c r="G13" s="14"/>
      <c r="H13" s="14"/>
      <c r="I13" s="28"/>
      <c r="J13" s="69"/>
      <c r="K13" s="71"/>
      <c r="L13" s="71"/>
      <c r="M13" s="73"/>
      <c r="N13" s="73"/>
      <c r="O13" s="70"/>
      <c r="P13" s="70"/>
      <c r="Q13" s="71"/>
      <c r="R13" s="71"/>
      <c r="S13" s="71"/>
      <c r="T13" s="70"/>
      <c r="U13" s="73"/>
      <c r="V13" s="73"/>
      <c r="W13" s="73"/>
      <c r="X13" s="71"/>
      <c r="Y13" s="71"/>
      <c r="Z13" s="71"/>
      <c r="AA13" s="73"/>
      <c r="AB13" s="73"/>
      <c r="AC13" s="70"/>
      <c r="AD13" s="70"/>
      <c r="AE13" s="71"/>
      <c r="AF13" s="71"/>
      <c r="AG13" s="71"/>
      <c r="AH13" s="70"/>
      <c r="AI13" s="73"/>
      <c r="AJ13" s="73"/>
      <c r="AK13" s="70"/>
      <c r="AL13" s="71"/>
      <c r="AM13" s="71"/>
      <c r="AN13" s="71"/>
      <c r="AO13" s="72"/>
      <c r="AP13" s="28"/>
      <c r="AQ13" s="28"/>
      <c r="AR13" s="28"/>
      <c r="AS13" s="28"/>
      <c r="AT13" s="28"/>
      <c r="AU13" s="28"/>
      <c r="AV13" s="28"/>
      <c r="AW13" s="28"/>
      <c r="AX13" s="28"/>
      <c r="AY13" s="28"/>
      <c r="AZ13" s="28"/>
      <c r="BA13" s="28"/>
      <c r="BB13" s="28"/>
      <c r="BC13" s="28"/>
      <c r="BD13" s="28"/>
      <c r="BE13" s="28"/>
      <c r="BF13" s="28"/>
      <c r="BG13" s="28"/>
      <c r="BH13" s="28"/>
      <c r="BI13" s="28"/>
      <c r="BJ13" s="28"/>
      <c r="BK13" s="28"/>
      <c r="BL13" s="28"/>
    </row>
    <row r="14" spans="1:64" s="3" customFormat="1" ht="30" customHeight="1" thickBot="1" x14ac:dyDescent="0.3">
      <c r="A14" s="32"/>
      <c r="B14" s="46" t="s">
        <v>34</v>
      </c>
      <c r="C14" s="40" t="s">
        <v>31</v>
      </c>
      <c r="D14" s="17">
        <v>0.4</v>
      </c>
      <c r="E14" s="55">
        <v>45692</v>
      </c>
      <c r="F14" s="55">
        <f t="shared" si="7"/>
        <v>45695</v>
      </c>
      <c r="G14" s="14"/>
      <c r="H14" s="14"/>
      <c r="I14" s="28"/>
      <c r="J14" s="69"/>
      <c r="K14" s="71"/>
      <c r="L14" s="71"/>
      <c r="M14" s="73"/>
      <c r="N14" s="70"/>
      <c r="O14" s="70"/>
      <c r="P14" s="73"/>
      <c r="Q14" s="71"/>
      <c r="R14" s="71"/>
      <c r="S14" s="71"/>
      <c r="T14" s="70"/>
      <c r="U14" s="73"/>
      <c r="V14" s="73"/>
      <c r="W14" s="73"/>
      <c r="X14" s="71"/>
      <c r="Y14" s="71"/>
      <c r="Z14" s="71"/>
      <c r="AA14" s="73"/>
      <c r="AB14" s="73"/>
      <c r="AC14" s="73"/>
      <c r="AD14" s="73"/>
      <c r="AE14" s="71"/>
      <c r="AF14" s="71"/>
      <c r="AG14" s="71"/>
      <c r="AH14" s="73"/>
      <c r="AI14" s="70"/>
      <c r="AJ14" s="73"/>
      <c r="AK14" s="73"/>
      <c r="AL14" s="71"/>
      <c r="AM14" s="71"/>
      <c r="AN14" s="71"/>
      <c r="AO14" s="72"/>
      <c r="AP14" s="28"/>
      <c r="AQ14" s="28"/>
      <c r="AR14" s="28"/>
      <c r="AS14" s="28"/>
      <c r="AT14" s="28"/>
      <c r="AU14" s="28"/>
      <c r="AV14" s="28"/>
      <c r="AW14" s="28"/>
      <c r="AX14" s="28"/>
      <c r="AY14" s="28"/>
      <c r="AZ14" s="28"/>
      <c r="BA14" s="28"/>
      <c r="BB14" s="28"/>
      <c r="BC14" s="28"/>
      <c r="BD14" s="28"/>
      <c r="BE14" s="28"/>
      <c r="BF14" s="28"/>
      <c r="BG14" s="28"/>
      <c r="BH14" s="28"/>
      <c r="BI14" s="28"/>
      <c r="BJ14" s="28"/>
      <c r="BK14" s="28"/>
      <c r="BL14" s="28"/>
    </row>
    <row r="15" spans="1:64" s="3" customFormat="1" ht="30" customHeight="1" thickBot="1" x14ac:dyDescent="0.3">
      <c r="A15" s="32"/>
      <c r="B15" s="46" t="s">
        <v>39</v>
      </c>
      <c r="C15" s="40" t="s">
        <v>32</v>
      </c>
      <c r="D15" s="17">
        <v>0.4</v>
      </c>
      <c r="E15" s="55">
        <v>45692</v>
      </c>
      <c r="F15" s="55">
        <f t="shared" si="7"/>
        <v>45695</v>
      </c>
      <c r="G15" s="14"/>
      <c r="H15" s="14"/>
      <c r="I15" s="28"/>
      <c r="J15" s="69"/>
      <c r="K15" s="71"/>
      <c r="L15" s="71"/>
      <c r="M15" s="73"/>
      <c r="N15" s="70"/>
      <c r="O15" s="70"/>
      <c r="P15" s="73"/>
      <c r="Q15" s="71"/>
      <c r="R15" s="71"/>
      <c r="S15" s="71"/>
      <c r="T15" s="70"/>
      <c r="U15" s="73"/>
      <c r="V15" s="73"/>
      <c r="W15" s="73"/>
      <c r="X15" s="71"/>
      <c r="Y15" s="71"/>
      <c r="Z15" s="71"/>
      <c r="AA15" s="70"/>
      <c r="AB15" s="70"/>
      <c r="AC15" s="73"/>
      <c r="AD15" s="73"/>
      <c r="AE15" s="71"/>
      <c r="AF15" s="71"/>
      <c r="AG15" s="71"/>
      <c r="AH15" s="70"/>
      <c r="AI15" s="73"/>
      <c r="AJ15" s="73"/>
      <c r="AK15" s="70"/>
      <c r="AL15" s="71"/>
      <c r="AM15" s="71"/>
      <c r="AN15" s="71"/>
      <c r="AO15" s="72"/>
      <c r="AP15" s="28"/>
      <c r="AQ15" s="28"/>
      <c r="AR15" s="28"/>
      <c r="AS15" s="28"/>
      <c r="AT15" s="28"/>
      <c r="AU15" s="28"/>
      <c r="AV15" s="28"/>
      <c r="AW15" s="28"/>
      <c r="AX15" s="28"/>
      <c r="AY15" s="28"/>
      <c r="AZ15" s="28"/>
      <c r="BA15" s="28"/>
      <c r="BB15" s="28"/>
      <c r="BC15" s="28"/>
      <c r="BD15" s="28"/>
      <c r="BE15" s="28"/>
      <c r="BF15" s="28"/>
      <c r="BG15" s="28"/>
      <c r="BH15" s="28"/>
      <c r="BI15" s="28"/>
      <c r="BJ15" s="28"/>
      <c r="BK15" s="28"/>
      <c r="BL15" s="28"/>
    </row>
    <row r="16" spans="1:64" s="3" customFormat="1" ht="30" customHeight="1" thickBot="1" x14ac:dyDescent="0.3">
      <c r="A16" s="32"/>
      <c r="B16" s="46" t="s">
        <v>39</v>
      </c>
      <c r="C16" s="40" t="s">
        <v>33</v>
      </c>
      <c r="D16" s="17">
        <v>0.4</v>
      </c>
      <c r="E16" s="55">
        <v>45692</v>
      </c>
      <c r="F16" s="55">
        <f t="shared" si="7"/>
        <v>45695</v>
      </c>
      <c r="G16" s="14"/>
      <c r="H16" s="14">
        <f t="shared" si="6"/>
        <v>4</v>
      </c>
      <c r="I16" s="28"/>
      <c r="J16" s="69"/>
      <c r="K16" s="71"/>
      <c r="L16" s="71"/>
      <c r="M16" s="73"/>
      <c r="N16" s="70"/>
      <c r="O16" s="70"/>
      <c r="P16" s="70"/>
      <c r="Q16" s="71"/>
      <c r="R16" s="71"/>
      <c r="S16" s="71"/>
      <c r="T16" s="70"/>
      <c r="U16" s="73"/>
      <c r="V16" s="70"/>
      <c r="W16" s="70"/>
      <c r="X16" s="71"/>
      <c r="Y16" s="71"/>
      <c r="Z16" s="71"/>
      <c r="AA16" s="70"/>
      <c r="AB16" s="70"/>
      <c r="AC16" s="70"/>
      <c r="AD16" s="70"/>
      <c r="AE16" s="71"/>
      <c r="AF16" s="71"/>
      <c r="AG16" s="71"/>
      <c r="AH16" s="70"/>
      <c r="AI16" s="70"/>
      <c r="AJ16" s="70"/>
      <c r="AK16" s="70"/>
      <c r="AL16" s="71"/>
      <c r="AM16" s="71"/>
      <c r="AN16" s="71"/>
      <c r="AO16" s="72"/>
      <c r="AP16" s="28"/>
      <c r="AQ16" s="28"/>
      <c r="AR16" s="28"/>
      <c r="AS16" s="28"/>
      <c r="AT16" s="28"/>
      <c r="AU16" s="28"/>
      <c r="AV16" s="28"/>
      <c r="AW16" s="28"/>
      <c r="AX16" s="28"/>
      <c r="AY16" s="28"/>
      <c r="AZ16" s="28"/>
      <c r="BA16" s="28"/>
      <c r="BB16" s="28"/>
      <c r="BC16" s="28"/>
      <c r="BD16" s="28"/>
      <c r="BE16" s="28"/>
      <c r="BF16" s="28"/>
      <c r="BG16" s="28"/>
      <c r="BH16" s="28"/>
      <c r="BI16" s="28"/>
      <c r="BJ16" s="28"/>
      <c r="BK16" s="28"/>
      <c r="BL16" s="28"/>
    </row>
    <row r="17" spans="1:64" s="3" customFormat="1" ht="30" customHeight="1" thickBot="1" x14ac:dyDescent="0.3">
      <c r="A17" s="33" t="s">
        <v>10</v>
      </c>
      <c r="B17" s="18" t="s">
        <v>25</v>
      </c>
      <c r="C17" s="41"/>
      <c r="D17" s="19"/>
      <c r="E17" s="56"/>
      <c r="F17" s="57"/>
      <c r="G17" s="14"/>
      <c r="H17" s="14" t="str">
        <f t="shared" si="6"/>
        <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row>
    <row r="18" spans="1:64" s="3" customFormat="1" ht="30" customHeight="1" thickBot="1" x14ac:dyDescent="0.3">
      <c r="A18" s="33"/>
      <c r="B18" s="47" t="s">
        <v>40</v>
      </c>
      <c r="C18" s="42" t="s">
        <v>27</v>
      </c>
      <c r="D18" s="20">
        <v>1</v>
      </c>
      <c r="E18" s="58">
        <v>45698</v>
      </c>
      <c r="F18" s="58">
        <v>45757</v>
      </c>
      <c r="G18" s="14"/>
      <c r="H18" s="14">
        <f t="shared" si="6"/>
        <v>60</v>
      </c>
      <c r="I18" s="28"/>
      <c r="J18" s="28"/>
      <c r="K18" s="28"/>
      <c r="L18" s="28"/>
      <c r="M18" s="28"/>
      <c r="N18" s="28"/>
      <c r="O18" s="28"/>
      <c r="P18" s="81" t="s">
        <v>49</v>
      </c>
      <c r="Q18" s="28"/>
      <c r="R18" s="28" t="s">
        <v>49</v>
      </c>
      <c r="S18" s="28"/>
      <c r="T18" s="28" t="s">
        <v>49</v>
      </c>
      <c r="U18" s="28"/>
      <c r="V18" s="28"/>
      <c r="W18" s="28" t="s">
        <v>49</v>
      </c>
      <c r="X18" s="28"/>
      <c r="Y18" s="28" t="s">
        <v>49</v>
      </c>
      <c r="Z18" s="28"/>
      <c r="AA18" s="28" t="s">
        <v>49</v>
      </c>
      <c r="AB18" s="28"/>
      <c r="AC18" s="28"/>
      <c r="AD18" s="28" t="s">
        <v>49</v>
      </c>
      <c r="AE18" s="28"/>
      <c r="AF18" s="28" t="s">
        <v>49</v>
      </c>
      <c r="AG18" s="28"/>
      <c r="AH18" s="28" t="s">
        <v>49</v>
      </c>
      <c r="AI18" s="28"/>
      <c r="AJ18" s="28"/>
      <c r="AK18" s="28" t="s">
        <v>49</v>
      </c>
      <c r="AL18" s="28"/>
      <c r="AM18" s="28" t="s">
        <v>49</v>
      </c>
      <c r="AN18" s="28"/>
      <c r="AO18" s="28" t="s">
        <v>49</v>
      </c>
      <c r="AP18" s="28"/>
      <c r="AQ18" s="28"/>
      <c r="AR18" s="28" t="s">
        <v>49</v>
      </c>
      <c r="AS18" s="28"/>
      <c r="AT18" s="28" t="s">
        <v>49</v>
      </c>
      <c r="AU18" s="28"/>
      <c r="AV18" s="28" t="s">
        <v>49</v>
      </c>
      <c r="AW18" s="28"/>
      <c r="AX18" s="28"/>
      <c r="AY18" s="28" t="s">
        <v>49</v>
      </c>
      <c r="AZ18" s="28"/>
      <c r="BA18" s="28" t="s">
        <v>49</v>
      </c>
      <c r="BB18" s="28"/>
      <c r="BC18" s="28" t="s">
        <v>49</v>
      </c>
      <c r="BD18" s="28"/>
      <c r="BE18" s="28"/>
      <c r="BF18" s="28" t="s">
        <v>49</v>
      </c>
      <c r="BG18" s="28"/>
      <c r="BH18" s="28" t="s">
        <v>49</v>
      </c>
      <c r="BI18" s="28"/>
      <c r="BJ18" s="28" t="s">
        <v>49</v>
      </c>
      <c r="BK18" s="28"/>
      <c r="BL18" s="28"/>
    </row>
    <row r="19" spans="1:64" s="3" customFormat="1" ht="30" customHeight="1" thickBot="1" x14ac:dyDescent="0.3">
      <c r="A19" s="32"/>
      <c r="B19" s="47" t="s">
        <v>41</v>
      </c>
      <c r="C19" s="42" t="s">
        <v>26</v>
      </c>
      <c r="D19" s="20">
        <v>1</v>
      </c>
      <c r="E19" s="58">
        <v>45698</v>
      </c>
      <c r="F19" s="58">
        <v>45757</v>
      </c>
      <c r="G19" s="14"/>
      <c r="H19" s="14">
        <f t="shared" si="6"/>
        <v>60</v>
      </c>
      <c r="I19" s="28"/>
      <c r="J19" s="28"/>
      <c r="K19" s="28"/>
      <c r="L19" s="28"/>
      <c r="M19" s="28"/>
      <c r="N19" s="28"/>
      <c r="O19" s="28"/>
      <c r="P19" s="84" t="s">
        <v>49</v>
      </c>
      <c r="Q19" s="83"/>
      <c r="R19" s="84" t="s">
        <v>49</v>
      </c>
      <c r="S19" s="28"/>
      <c r="T19" s="82" t="s">
        <v>49</v>
      </c>
      <c r="U19" s="28"/>
      <c r="V19" s="28"/>
      <c r="W19" s="28" t="s">
        <v>49</v>
      </c>
      <c r="X19" s="28"/>
      <c r="Y19" s="28" t="s">
        <v>49</v>
      </c>
      <c r="Z19" s="28"/>
      <c r="AA19" s="28" t="s">
        <v>49</v>
      </c>
      <c r="AB19" s="28"/>
      <c r="AC19" s="28"/>
      <c r="AD19" s="28" t="s">
        <v>49</v>
      </c>
      <c r="AE19" s="28"/>
      <c r="AF19" s="28" t="s">
        <v>49</v>
      </c>
      <c r="AG19" s="28"/>
      <c r="AH19" s="28" t="s">
        <v>49</v>
      </c>
      <c r="AI19" s="28"/>
      <c r="AJ19" s="28"/>
      <c r="AK19" s="28" t="s">
        <v>49</v>
      </c>
      <c r="AL19" s="28"/>
      <c r="AM19" s="28" t="s">
        <v>49</v>
      </c>
      <c r="AN19" s="28"/>
      <c r="AO19" s="28" t="s">
        <v>49</v>
      </c>
      <c r="AP19" s="28"/>
      <c r="AQ19" s="28"/>
      <c r="AR19" s="28" t="s">
        <v>49</v>
      </c>
      <c r="AS19" s="28"/>
      <c r="AT19" s="28" t="s">
        <v>49</v>
      </c>
      <c r="AU19" s="28"/>
      <c r="AV19" s="28" t="s">
        <v>49</v>
      </c>
      <c r="AW19" s="28"/>
      <c r="AX19" s="28"/>
      <c r="AY19" s="28" t="s">
        <v>49</v>
      </c>
      <c r="AZ19" s="28"/>
      <c r="BA19" s="28" t="s">
        <v>49</v>
      </c>
      <c r="BB19" s="28"/>
      <c r="BC19" s="28" t="s">
        <v>49</v>
      </c>
      <c r="BD19" s="28"/>
      <c r="BE19" s="28"/>
      <c r="BF19" s="28" t="s">
        <v>49</v>
      </c>
      <c r="BG19" s="28"/>
      <c r="BH19" s="28" t="s">
        <v>49</v>
      </c>
      <c r="BI19" s="28"/>
      <c r="BJ19" s="28" t="s">
        <v>49</v>
      </c>
      <c r="BK19" s="28"/>
    </row>
    <row r="20" spans="1:64" s="3" customFormat="1" ht="30" customHeight="1" thickBot="1" x14ac:dyDescent="0.3">
      <c r="A20" s="32"/>
      <c r="B20" s="47" t="s">
        <v>42</v>
      </c>
      <c r="C20" s="42" t="s">
        <v>28</v>
      </c>
      <c r="D20" s="20">
        <v>1</v>
      </c>
      <c r="E20" s="58">
        <v>45698</v>
      </c>
      <c r="F20" s="58">
        <v>45757</v>
      </c>
      <c r="G20" s="14"/>
      <c r="H20" s="14">
        <f t="shared" si="6"/>
        <v>60</v>
      </c>
      <c r="I20" s="28"/>
      <c r="J20" s="28"/>
      <c r="K20" s="28"/>
      <c r="L20" s="28"/>
      <c r="M20" s="28"/>
      <c r="N20" s="28"/>
      <c r="O20" s="28"/>
      <c r="P20" s="28" t="s">
        <v>49</v>
      </c>
      <c r="Q20" s="28"/>
      <c r="R20" s="28" t="s">
        <v>49</v>
      </c>
      <c r="S20" s="28"/>
      <c r="T20" s="28" t="s">
        <v>49</v>
      </c>
      <c r="U20" s="28"/>
      <c r="V20" s="28"/>
      <c r="W20" s="28" t="s">
        <v>49</v>
      </c>
      <c r="X20" s="28"/>
      <c r="Y20" s="28" t="s">
        <v>49</v>
      </c>
      <c r="Z20" s="28"/>
      <c r="AA20" s="28" t="s">
        <v>49</v>
      </c>
      <c r="AB20" s="28"/>
      <c r="AC20" s="28"/>
      <c r="AD20" s="28" t="s">
        <v>49</v>
      </c>
      <c r="AE20" s="28"/>
      <c r="AF20" s="28" t="s">
        <v>49</v>
      </c>
      <c r="AG20" s="28"/>
      <c r="AH20" s="28" t="s">
        <v>49</v>
      </c>
      <c r="AI20" s="28"/>
      <c r="AJ20" s="28"/>
      <c r="AK20" s="28" t="s">
        <v>49</v>
      </c>
      <c r="AL20" s="28"/>
      <c r="AM20" s="28" t="s">
        <v>49</v>
      </c>
      <c r="AN20" s="28"/>
      <c r="AO20" s="28" t="s">
        <v>49</v>
      </c>
      <c r="AP20" s="28"/>
      <c r="AQ20" s="28"/>
      <c r="AR20" s="28" t="s">
        <v>49</v>
      </c>
      <c r="AS20" s="28"/>
      <c r="AT20" s="28" t="s">
        <v>49</v>
      </c>
      <c r="AU20" s="28"/>
      <c r="AV20" s="28" t="s">
        <v>49</v>
      </c>
      <c r="AW20" s="28"/>
      <c r="AX20" s="28"/>
      <c r="AY20" s="28" t="s">
        <v>49</v>
      </c>
      <c r="AZ20" s="28"/>
      <c r="BA20" s="28" t="s">
        <v>49</v>
      </c>
      <c r="BB20" s="28"/>
      <c r="BC20" s="28" t="s">
        <v>49</v>
      </c>
      <c r="BD20" s="28"/>
      <c r="BE20" s="28"/>
      <c r="BF20" s="28" t="s">
        <v>49</v>
      </c>
      <c r="BG20" s="28"/>
      <c r="BH20" s="28" t="s">
        <v>49</v>
      </c>
      <c r="BI20" s="28"/>
      <c r="BJ20" s="28" t="s">
        <v>49</v>
      </c>
      <c r="BK20" s="28"/>
      <c r="BL20" s="28"/>
    </row>
    <row r="21" spans="1:64" s="3" customFormat="1" ht="30" customHeight="1" thickBot="1" x14ac:dyDescent="0.3">
      <c r="A21" s="32"/>
      <c r="B21" s="47" t="s">
        <v>45</v>
      </c>
      <c r="C21" s="42" t="s">
        <v>29</v>
      </c>
      <c r="D21" s="20">
        <v>1</v>
      </c>
      <c r="E21" s="58">
        <v>45698</v>
      </c>
      <c r="F21" s="58">
        <v>45757</v>
      </c>
      <c r="G21" s="14"/>
      <c r="H21" s="14"/>
      <c r="I21" s="28"/>
      <c r="J21" s="28"/>
      <c r="K21" s="28"/>
      <c r="L21" s="28"/>
      <c r="M21" s="28"/>
      <c r="N21" s="28"/>
      <c r="O21" s="28"/>
      <c r="P21" s="28" t="s">
        <v>49</v>
      </c>
      <c r="Q21" s="28"/>
      <c r="R21" s="28" t="s">
        <v>49</v>
      </c>
      <c r="S21" s="28"/>
      <c r="T21" s="28" t="s">
        <v>49</v>
      </c>
      <c r="U21" s="28"/>
      <c r="V21" s="28"/>
      <c r="W21" s="28" t="s">
        <v>49</v>
      </c>
      <c r="X21" s="28"/>
      <c r="Y21" s="28" t="s">
        <v>49</v>
      </c>
      <c r="Z21" s="28"/>
      <c r="AA21" s="28" t="s">
        <v>49</v>
      </c>
      <c r="AB21" s="28"/>
      <c r="AC21" s="28"/>
      <c r="AD21" s="28" t="s">
        <v>49</v>
      </c>
      <c r="AE21" s="28"/>
      <c r="AF21" s="28" t="s">
        <v>49</v>
      </c>
      <c r="AG21" s="28"/>
      <c r="AH21" s="28" t="s">
        <v>49</v>
      </c>
      <c r="AI21" s="28"/>
      <c r="AJ21" s="28"/>
      <c r="AK21" s="28" t="s">
        <v>49</v>
      </c>
      <c r="AL21" s="28"/>
      <c r="AM21" s="28" t="s">
        <v>49</v>
      </c>
      <c r="AN21" s="28"/>
      <c r="AO21" s="28" t="s">
        <v>49</v>
      </c>
      <c r="AP21" s="28"/>
      <c r="AQ21" s="28"/>
      <c r="AR21" s="28" t="s">
        <v>49</v>
      </c>
      <c r="AS21" s="28"/>
      <c r="AT21" s="28" t="s">
        <v>49</v>
      </c>
      <c r="AU21" s="28"/>
      <c r="AV21" s="28" t="s">
        <v>49</v>
      </c>
      <c r="AW21" s="28"/>
      <c r="AX21" s="28"/>
      <c r="AY21" s="28" t="s">
        <v>49</v>
      </c>
      <c r="AZ21" s="28"/>
      <c r="BA21" s="28" t="s">
        <v>49</v>
      </c>
      <c r="BB21" s="28"/>
      <c r="BC21" s="28" t="s">
        <v>49</v>
      </c>
      <c r="BD21" s="28"/>
      <c r="BE21" s="28"/>
      <c r="BF21" s="28" t="s">
        <v>49</v>
      </c>
      <c r="BG21" s="28"/>
      <c r="BH21" s="28" t="s">
        <v>49</v>
      </c>
      <c r="BI21" s="28"/>
      <c r="BJ21" s="28" t="s">
        <v>49</v>
      </c>
      <c r="BK21" s="28"/>
      <c r="BL21" s="28"/>
    </row>
    <row r="22" spans="1:64" s="3" customFormat="1" ht="30" customHeight="1" thickBot="1" x14ac:dyDescent="0.3">
      <c r="A22" s="32"/>
      <c r="B22" s="47" t="s">
        <v>46</v>
      </c>
      <c r="C22" s="42" t="s">
        <v>30</v>
      </c>
      <c r="D22" s="20">
        <v>1</v>
      </c>
      <c r="E22" s="58">
        <v>45698</v>
      </c>
      <c r="F22" s="58">
        <v>45757</v>
      </c>
      <c r="G22" s="14"/>
      <c r="H22" s="14"/>
      <c r="I22" s="28"/>
      <c r="J22" s="28"/>
      <c r="K22" s="28"/>
      <c r="L22" s="28"/>
      <c r="M22" s="28"/>
      <c r="N22" s="28"/>
      <c r="O22" s="28"/>
      <c r="P22" s="28" t="s">
        <v>49</v>
      </c>
      <c r="Q22" s="28"/>
      <c r="R22" s="28" t="s">
        <v>49</v>
      </c>
      <c r="S22" s="28"/>
      <c r="T22" s="28" t="s">
        <v>49</v>
      </c>
      <c r="U22" s="28"/>
      <c r="V22" s="28"/>
      <c r="W22" s="28" t="s">
        <v>49</v>
      </c>
      <c r="X22" s="28"/>
      <c r="Y22" s="28" t="s">
        <v>49</v>
      </c>
      <c r="Z22" s="28"/>
      <c r="AA22" s="28" t="s">
        <v>49</v>
      </c>
      <c r="AB22" s="28"/>
      <c r="AC22" s="28"/>
      <c r="AD22" s="28" t="s">
        <v>49</v>
      </c>
      <c r="AE22" s="28"/>
      <c r="AF22" s="28" t="s">
        <v>49</v>
      </c>
      <c r="AG22" s="28"/>
      <c r="AH22" s="28" t="s">
        <v>49</v>
      </c>
      <c r="AI22" s="28"/>
      <c r="AJ22" s="28"/>
      <c r="AK22" s="28" t="s">
        <v>49</v>
      </c>
      <c r="AL22" s="28"/>
      <c r="AM22" s="28" t="s">
        <v>49</v>
      </c>
      <c r="AN22" s="28"/>
      <c r="AO22" s="28" t="s">
        <v>49</v>
      </c>
      <c r="AP22" s="28"/>
      <c r="AQ22" s="28"/>
      <c r="AR22" s="28" t="s">
        <v>49</v>
      </c>
      <c r="AS22" s="28"/>
      <c r="AT22" s="28" t="s">
        <v>49</v>
      </c>
      <c r="AU22" s="28"/>
      <c r="AV22" s="28" t="s">
        <v>49</v>
      </c>
      <c r="AW22" s="28"/>
      <c r="AX22" s="28"/>
      <c r="AY22" s="28" t="s">
        <v>49</v>
      </c>
      <c r="AZ22" s="28"/>
      <c r="BA22" s="28" t="s">
        <v>49</v>
      </c>
      <c r="BB22" s="28"/>
      <c r="BC22" s="28" t="s">
        <v>49</v>
      </c>
      <c r="BD22" s="28"/>
      <c r="BE22" s="28"/>
      <c r="BF22" s="28" t="s">
        <v>49</v>
      </c>
      <c r="BG22" s="28"/>
      <c r="BH22" s="28" t="s">
        <v>49</v>
      </c>
      <c r="BI22" s="28"/>
      <c r="BJ22" s="28" t="s">
        <v>49</v>
      </c>
      <c r="BK22" s="28"/>
      <c r="BL22" s="28"/>
    </row>
    <row r="23" spans="1:64" s="3" customFormat="1" ht="30" customHeight="1" thickBot="1" x14ac:dyDescent="0.3">
      <c r="A23" s="32"/>
      <c r="B23" s="47" t="s">
        <v>47</v>
      </c>
      <c r="C23" s="42" t="s">
        <v>31</v>
      </c>
      <c r="D23" s="20">
        <v>1</v>
      </c>
      <c r="E23" s="58">
        <v>45698</v>
      </c>
      <c r="F23" s="58">
        <v>45757</v>
      </c>
      <c r="G23" s="14"/>
      <c r="H23" s="14"/>
      <c r="I23" s="28"/>
      <c r="J23" s="28"/>
      <c r="K23" s="28"/>
      <c r="L23" s="28"/>
      <c r="M23" s="28"/>
      <c r="N23" s="28"/>
      <c r="O23" s="28"/>
      <c r="P23" s="28" t="s">
        <v>49</v>
      </c>
      <c r="Q23" s="28"/>
      <c r="R23" s="28" t="s">
        <v>49</v>
      </c>
      <c r="S23" s="28"/>
      <c r="T23" s="28" t="s">
        <v>49</v>
      </c>
      <c r="U23" s="28"/>
      <c r="V23" s="28"/>
      <c r="W23" s="28" t="s">
        <v>49</v>
      </c>
      <c r="X23" s="28"/>
      <c r="Y23" s="28" t="s">
        <v>49</v>
      </c>
      <c r="Z23" s="28"/>
      <c r="AA23" s="28" t="s">
        <v>49</v>
      </c>
      <c r="AB23" s="28"/>
      <c r="AC23" s="28"/>
      <c r="AD23" s="28" t="s">
        <v>49</v>
      </c>
      <c r="AE23" s="28"/>
      <c r="AF23" s="28" t="s">
        <v>49</v>
      </c>
      <c r="AG23" s="28"/>
      <c r="AH23" s="28" t="s">
        <v>49</v>
      </c>
      <c r="AI23" s="28"/>
      <c r="AJ23" s="28"/>
      <c r="AK23" s="28" t="s">
        <v>49</v>
      </c>
      <c r="AL23" s="28"/>
      <c r="AM23" s="28" t="s">
        <v>49</v>
      </c>
      <c r="AN23" s="28"/>
      <c r="AO23" s="28" t="s">
        <v>49</v>
      </c>
      <c r="AP23" s="28"/>
      <c r="AQ23" s="28"/>
      <c r="AR23" s="28" t="s">
        <v>49</v>
      </c>
      <c r="AS23" s="28"/>
      <c r="AT23" s="28" t="s">
        <v>49</v>
      </c>
      <c r="AU23" s="28"/>
      <c r="AV23" s="28" t="s">
        <v>49</v>
      </c>
      <c r="AW23" s="28"/>
      <c r="AX23" s="28"/>
      <c r="AY23" s="28" t="s">
        <v>49</v>
      </c>
      <c r="AZ23" s="28"/>
      <c r="BA23" s="28" t="s">
        <v>49</v>
      </c>
      <c r="BB23" s="28"/>
      <c r="BC23" s="28" t="s">
        <v>49</v>
      </c>
      <c r="BD23" s="28"/>
      <c r="BE23" s="28"/>
      <c r="BF23" s="28" t="s">
        <v>49</v>
      </c>
      <c r="BG23" s="28"/>
      <c r="BH23" s="28" t="s">
        <v>49</v>
      </c>
      <c r="BI23" s="28"/>
      <c r="BJ23" s="28" t="s">
        <v>49</v>
      </c>
      <c r="BK23" s="28"/>
      <c r="BL23" s="28"/>
    </row>
    <row r="24" spans="1:64" s="3" customFormat="1" ht="30" customHeight="1" thickBot="1" x14ac:dyDescent="0.3">
      <c r="A24" s="32"/>
      <c r="B24" s="47" t="s">
        <v>48</v>
      </c>
      <c r="C24" s="42" t="s">
        <v>32</v>
      </c>
      <c r="D24" s="20">
        <v>1</v>
      </c>
      <c r="E24" s="58">
        <v>45698</v>
      </c>
      <c r="F24" s="58">
        <v>45757</v>
      </c>
      <c r="G24" s="14"/>
      <c r="H24" s="14">
        <f t="shared" si="6"/>
        <v>60</v>
      </c>
      <c r="I24" s="28"/>
      <c r="J24" s="28"/>
      <c r="K24" s="28"/>
      <c r="L24" s="28"/>
      <c r="M24" s="28"/>
      <c r="N24" s="28"/>
      <c r="O24" s="28"/>
      <c r="P24" s="28" t="s">
        <v>49</v>
      </c>
      <c r="Q24" s="28"/>
      <c r="R24" s="28" t="s">
        <v>49</v>
      </c>
      <c r="S24" s="28"/>
      <c r="T24" s="28" t="s">
        <v>49</v>
      </c>
      <c r="U24" s="28"/>
      <c r="V24" s="28"/>
      <c r="W24" s="28" t="s">
        <v>49</v>
      </c>
      <c r="X24" s="28"/>
      <c r="Y24" s="29" t="s">
        <v>49</v>
      </c>
      <c r="Z24" s="28"/>
      <c r="AA24" s="28" t="s">
        <v>49</v>
      </c>
      <c r="AB24" s="28"/>
      <c r="AC24" s="28"/>
      <c r="AD24" s="28" t="s">
        <v>49</v>
      </c>
      <c r="AE24" s="28"/>
      <c r="AF24" s="28" t="s">
        <v>49</v>
      </c>
      <c r="AG24" s="28"/>
      <c r="AH24" s="28" t="s">
        <v>49</v>
      </c>
      <c r="AI24" s="28"/>
      <c r="AJ24" s="28"/>
      <c r="AK24" s="28" t="s">
        <v>49</v>
      </c>
      <c r="AL24" s="28"/>
      <c r="AM24" s="28" t="s">
        <v>49</v>
      </c>
      <c r="AN24" s="28"/>
      <c r="AO24" s="28" t="s">
        <v>49</v>
      </c>
      <c r="AP24" s="28"/>
      <c r="AQ24" s="28"/>
      <c r="AR24" s="28" t="s">
        <v>49</v>
      </c>
      <c r="AS24" s="28"/>
      <c r="AT24" s="28" t="s">
        <v>49</v>
      </c>
      <c r="AU24" s="28"/>
      <c r="AV24" s="28" t="s">
        <v>49</v>
      </c>
      <c r="AW24" s="28"/>
      <c r="AX24" s="28"/>
      <c r="AY24" s="28" t="s">
        <v>49</v>
      </c>
      <c r="AZ24" s="28"/>
      <c r="BA24" s="28" t="s">
        <v>49</v>
      </c>
      <c r="BB24" s="28"/>
      <c r="BC24" s="28" t="s">
        <v>49</v>
      </c>
      <c r="BD24" s="28"/>
      <c r="BE24" s="28"/>
      <c r="BF24" s="28" t="s">
        <v>49</v>
      </c>
      <c r="BG24" s="28"/>
      <c r="BH24" s="28" t="s">
        <v>49</v>
      </c>
      <c r="BI24" s="28"/>
      <c r="BJ24" s="28" t="s">
        <v>49</v>
      </c>
      <c r="BK24" s="28"/>
      <c r="BL24" s="28"/>
    </row>
    <row r="25" spans="1:64" s="3" customFormat="1" ht="30" customHeight="1" thickBot="1" x14ac:dyDescent="0.3">
      <c r="A25" s="32"/>
      <c r="B25" s="47" t="s">
        <v>48</v>
      </c>
      <c r="C25" s="42" t="s">
        <v>33</v>
      </c>
      <c r="D25" s="20">
        <v>1</v>
      </c>
      <c r="E25" s="58">
        <v>45698</v>
      </c>
      <c r="F25" s="58">
        <v>45757</v>
      </c>
      <c r="G25" s="14"/>
      <c r="H25" s="14">
        <f t="shared" si="6"/>
        <v>60</v>
      </c>
      <c r="I25" s="28"/>
      <c r="J25" s="28"/>
      <c r="K25" s="28"/>
      <c r="L25" s="28"/>
      <c r="M25" s="28"/>
      <c r="N25" s="28"/>
      <c r="O25" s="28"/>
      <c r="P25" s="28" t="s">
        <v>49</v>
      </c>
      <c r="Q25" s="28"/>
      <c r="R25" s="28" t="s">
        <v>49</v>
      </c>
      <c r="S25" s="28"/>
      <c r="T25" s="28" t="s">
        <v>49</v>
      </c>
      <c r="U25" s="28"/>
      <c r="V25" s="28"/>
      <c r="W25" s="28" t="s">
        <v>49</v>
      </c>
      <c r="X25" s="28"/>
      <c r="Y25" s="28" t="s">
        <v>49</v>
      </c>
      <c r="Z25" s="28"/>
      <c r="AA25" s="28" t="s">
        <v>49</v>
      </c>
      <c r="AB25" s="28"/>
      <c r="AC25" s="28"/>
      <c r="AD25" s="28" t="s">
        <v>49</v>
      </c>
      <c r="AE25" s="28"/>
      <c r="AF25" s="28" t="s">
        <v>49</v>
      </c>
      <c r="AG25" s="28"/>
      <c r="AH25" s="28" t="s">
        <v>49</v>
      </c>
      <c r="AI25" s="28"/>
      <c r="AJ25" s="28"/>
      <c r="AK25" s="28" t="s">
        <v>49</v>
      </c>
      <c r="AL25" s="28"/>
      <c r="AM25" s="28" t="s">
        <v>49</v>
      </c>
      <c r="AN25" s="28"/>
      <c r="AO25" s="28" t="s">
        <v>49</v>
      </c>
      <c r="AP25" s="28"/>
      <c r="AQ25" s="28"/>
      <c r="AR25" s="28" t="s">
        <v>49</v>
      </c>
      <c r="AS25" s="28"/>
      <c r="AT25" s="28" t="s">
        <v>49</v>
      </c>
      <c r="AU25" s="28"/>
      <c r="AV25" s="28" t="s">
        <v>49</v>
      </c>
      <c r="AW25" s="28"/>
      <c r="AX25" s="28"/>
      <c r="AY25" s="28" t="s">
        <v>49</v>
      </c>
      <c r="AZ25" s="28"/>
      <c r="BA25" s="28" t="s">
        <v>49</v>
      </c>
      <c r="BB25" s="28"/>
      <c r="BC25" s="28" t="s">
        <v>49</v>
      </c>
      <c r="BD25" s="28"/>
      <c r="BE25" s="28"/>
      <c r="BF25" s="28" t="s">
        <v>49</v>
      </c>
      <c r="BG25" s="28"/>
      <c r="BH25" s="28" t="s">
        <v>49</v>
      </c>
      <c r="BI25" s="28"/>
      <c r="BJ25" s="28" t="s">
        <v>49</v>
      </c>
      <c r="BK25" s="28"/>
      <c r="BL25" s="28"/>
    </row>
    <row r="26" spans="1:64" s="3" customFormat="1" ht="30" customHeight="1" thickBot="1" x14ac:dyDescent="0.3">
      <c r="A26" s="32" t="s">
        <v>11</v>
      </c>
      <c r="B26" s="21"/>
      <c r="C26" s="43"/>
      <c r="D26" s="22"/>
      <c r="E26" s="59"/>
      <c r="F26" s="60"/>
      <c r="G26" s="14"/>
      <c r="H26" s="14" t="str">
        <f t="shared" si="6"/>
        <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row>
    <row r="27" spans="1:64" s="3" customFormat="1" ht="30" customHeight="1" thickBot="1" x14ac:dyDescent="0.3">
      <c r="A27" s="32"/>
      <c r="B27" s="48"/>
      <c r="C27" s="44"/>
      <c r="D27" s="23"/>
      <c r="E27" s="61"/>
      <c r="F27" s="61"/>
      <c r="G27" s="14"/>
      <c r="H27" s="14" t="str">
        <f t="shared" si="6"/>
        <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row>
    <row r="28" spans="1:64" s="3" customFormat="1" ht="30" customHeight="1" thickBot="1" x14ac:dyDescent="0.3">
      <c r="A28" s="32"/>
      <c r="B28" s="48"/>
      <c r="C28" s="44"/>
      <c r="D28" s="23"/>
      <c r="E28" s="61"/>
      <c r="F28" s="61"/>
      <c r="G28" s="14"/>
      <c r="H28" s="14" t="str">
        <f t="shared" si="6"/>
        <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row>
    <row r="29" spans="1:64" s="3" customFormat="1" ht="30" customHeight="1" thickBot="1" x14ac:dyDescent="0.3">
      <c r="A29" s="32"/>
      <c r="B29" s="48"/>
      <c r="C29" s="44"/>
      <c r="D29" s="23"/>
      <c r="E29" s="61"/>
      <c r="F29" s="61"/>
      <c r="G29" s="14"/>
      <c r="H29" s="14" t="str">
        <f t="shared" si="6"/>
        <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row>
    <row r="30" spans="1:64" s="3" customFormat="1" ht="30" customHeight="1" thickBot="1" x14ac:dyDescent="0.3">
      <c r="A30" s="32"/>
      <c r="B30" s="48"/>
      <c r="C30" s="44"/>
      <c r="D30" s="23"/>
      <c r="E30" s="61"/>
      <c r="F30" s="61"/>
      <c r="G30" s="14"/>
      <c r="H30" s="14" t="str">
        <f t="shared" si="6"/>
        <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row>
    <row r="31" spans="1:64" s="3" customFormat="1" ht="30" customHeight="1" thickBot="1" x14ac:dyDescent="0.3">
      <c r="A31" s="32"/>
      <c r="B31" s="48"/>
      <c r="C31" s="44"/>
      <c r="D31" s="23"/>
      <c r="E31" s="61"/>
      <c r="F31" s="61"/>
      <c r="G31" s="14"/>
      <c r="H31" s="14"/>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row>
    <row r="32" spans="1:64" s="3" customFormat="1" ht="30" customHeight="1" thickBot="1" x14ac:dyDescent="0.3">
      <c r="A32" s="32"/>
      <c r="B32" s="48"/>
      <c r="C32" s="44"/>
      <c r="D32" s="23"/>
      <c r="E32" s="61"/>
      <c r="F32" s="61"/>
      <c r="G32" s="14"/>
      <c r="H32" s="14"/>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row>
    <row r="33" spans="1:64" s="3" customFormat="1" ht="30" customHeight="1" thickBot="1" x14ac:dyDescent="0.3">
      <c r="A33" s="32"/>
      <c r="B33" s="48"/>
      <c r="C33" s="44"/>
      <c r="D33" s="23"/>
      <c r="E33" s="61"/>
      <c r="F33" s="61"/>
      <c r="G33" s="14"/>
      <c r="H33" s="14"/>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row>
    <row r="34" spans="1:64" s="3" customFormat="1" ht="30" customHeight="1" thickBot="1" x14ac:dyDescent="0.3">
      <c r="A34" s="32"/>
      <c r="B34" s="48"/>
      <c r="C34" s="44"/>
      <c r="D34" s="23"/>
      <c r="E34" s="61"/>
      <c r="F34" s="61"/>
      <c r="G34" s="14"/>
      <c r="H34" s="14" t="str">
        <f t="shared" si="6"/>
        <v/>
      </c>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row>
    <row r="35" spans="1:64" s="3" customFormat="1" ht="30" customHeight="1" thickBot="1" x14ac:dyDescent="0.3">
      <c r="A35" s="32" t="s">
        <v>11</v>
      </c>
      <c r="B35" s="49"/>
      <c r="C35" s="45"/>
      <c r="D35" s="13"/>
      <c r="E35" s="62"/>
      <c r="F35" s="62"/>
      <c r="G35" s="14"/>
      <c r="H35" s="14" t="str">
        <f t="shared" si="6"/>
        <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row>
    <row r="36" spans="1:64" s="3" customFormat="1" ht="30" customHeight="1" thickBot="1" x14ac:dyDescent="0.3">
      <c r="A36" s="32"/>
      <c r="B36" s="24" t="s">
        <v>15</v>
      </c>
      <c r="C36" s="25"/>
      <c r="D36" s="26"/>
      <c r="E36" s="63"/>
      <c r="F36" s="64"/>
      <c r="G36" s="14"/>
      <c r="H36" s="14" t="str">
        <f t="shared" si="6"/>
        <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row>
    <row r="37" spans="1:64" s="3" customFormat="1" ht="30" customHeight="1" thickBot="1" x14ac:dyDescent="0.3">
      <c r="A37" s="32"/>
      <c r="B37"/>
      <c r="C37"/>
      <c r="D37"/>
      <c r="E37" s="5"/>
      <c r="F37"/>
      <c r="G37" s="14"/>
      <c r="H37" s="14" t="str">
        <f t="shared" si="6"/>
        <v/>
      </c>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row>
    <row r="38" spans="1:64" s="3" customFormat="1" ht="30" customHeight="1" thickBot="1" x14ac:dyDescent="0.3">
      <c r="A38" s="32"/>
      <c r="B38"/>
      <c r="C38" s="11"/>
      <c r="D38"/>
      <c r="E38" s="5"/>
      <c r="F38" s="34"/>
      <c r="G38" s="14"/>
      <c r="H38" s="14" t="str">
        <f t="shared" si="6"/>
        <v/>
      </c>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row>
    <row r="39" spans="1:64" s="3" customFormat="1" ht="30" customHeight="1" thickBot="1" x14ac:dyDescent="0.3">
      <c r="A39" s="32"/>
      <c r="B39"/>
      <c r="C39" s="12"/>
      <c r="D39"/>
      <c r="E39" s="5"/>
      <c r="F39"/>
      <c r="G39" s="14"/>
      <c r="H39" s="14" t="str">
        <f t="shared" si="6"/>
        <v/>
      </c>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row>
    <row r="40" spans="1:64" s="3" customFormat="1" ht="30" customHeight="1" thickBot="1" x14ac:dyDescent="0.3">
      <c r="A40" s="32"/>
      <c r="B40"/>
      <c r="C40"/>
      <c r="D40"/>
      <c r="E40" s="5"/>
      <c r="F40"/>
      <c r="G40" s="14"/>
      <c r="H40" s="14" t="str">
        <f t="shared" si="6"/>
        <v/>
      </c>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row>
    <row r="41" spans="1:64" s="3" customFormat="1" ht="30" customHeight="1" thickBot="1" x14ac:dyDescent="0.3">
      <c r="A41" s="32" t="s">
        <v>12</v>
      </c>
      <c r="B41"/>
      <c r="C41"/>
      <c r="D41"/>
      <c r="E41" s="5"/>
      <c r="F41"/>
      <c r="G41" s="14"/>
      <c r="H41" s="14" t="str">
        <f t="shared" si="6"/>
        <v/>
      </c>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row>
    <row r="42" spans="1:64" s="3" customFormat="1" ht="30" customHeight="1" thickBot="1" x14ac:dyDescent="0.3">
      <c r="A42" s="33" t="s">
        <v>13</v>
      </c>
      <c r="B42"/>
      <c r="C42"/>
      <c r="D42"/>
      <c r="E42" s="5"/>
      <c r="F42"/>
      <c r="G42" s="27"/>
      <c r="H42" s="27" t="str">
        <f t="shared" si="6"/>
        <v/>
      </c>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row>
    <row r="43" spans="1:64" ht="30" customHeight="1" x14ac:dyDescent="0.25">
      <c r="G43" s="6"/>
    </row>
  </sheetData>
  <mergeCells count="11">
    <mergeCell ref="BF4:BL4"/>
    <mergeCell ref="E3:F3"/>
    <mergeCell ref="I4:O4"/>
    <mergeCell ref="P4:V4"/>
    <mergeCell ref="W4:AC4"/>
    <mergeCell ref="AD4:AJ4"/>
    <mergeCell ref="C3:D3"/>
    <mergeCell ref="C4:D4"/>
    <mergeCell ref="AK4:AQ4"/>
    <mergeCell ref="AR4:AX4"/>
    <mergeCell ref="AY4:BE4"/>
  </mergeCells>
  <phoneticPr fontId="31" type="noConversion"/>
  <conditionalFormatting sqref="D7:D36">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8 I9:J16 AP9:BL16 I17:BL18 I20:BL42 I19:O19">
    <cfRule type="expression" dxfId="8" priority="33">
      <formula>AND(TODAY()&gt;=I$5,TODAY()&lt;J$5)</formula>
    </cfRule>
  </conditionalFormatting>
  <conditionalFormatting sqref="I7:BL8 I9:J16 AP9:BL16 I17:BL18 I20:BL42 I19:O19">
    <cfRule type="expression" dxfId="7" priority="27">
      <formula>AND(task_start&lt;=I$5,ROUNDDOWN((task_end-task_start+1)*task_progress,0)+task_start-1&gt;=I$5)</formula>
    </cfRule>
    <cfRule type="expression" dxfId="6" priority="28" stopIfTrue="1">
      <formula>AND(task_end&gt;=I$5,task_start&lt;J$5)</formula>
    </cfRule>
  </conditionalFormatting>
  <conditionalFormatting sqref="S19:BK19">
    <cfRule type="expression" dxfId="5" priority="35">
      <formula>AND(TODAY()&gt;=T$5,TODAY()&lt;U$5)</formula>
    </cfRule>
  </conditionalFormatting>
  <conditionalFormatting sqref="S19:BK19">
    <cfRule type="expression" dxfId="4" priority="38">
      <formula>AND(task_start&lt;=T$5,ROUNDDOWN((task_end-task_start+1)*task_progress,0)+task_start-1&gt;=T$5)</formula>
    </cfRule>
    <cfRule type="expression" dxfId="3" priority="39" stopIfTrue="1">
      <formula>AND(task_end&gt;=T$5,task_start&lt;U$5)</formula>
    </cfRule>
  </conditionalFormatting>
  <conditionalFormatting sqref="Q19">
    <cfRule type="expression" dxfId="2" priority="41">
      <formula>AND(TODAY()&gt;=S$5,TODAY()&lt;T$5)</formula>
    </cfRule>
  </conditionalFormatting>
  <conditionalFormatting sqref="Q19">
    <cfRule type="expression" dxfId="1" priority="44">
      <formula>AND(task_start&lt;=S$5,ROUNDDOWN((task_end-task_start+1)*task_progress,0)+task_start-1&gt;=S$5)</formula>
    </cfRule>
    <cfRule type="expression" dxfId="0" priority="45" stopIfTrue="1">
      <formula>AND(task_end&gt;=S$5,task_start&lt;T$5)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ProjectSchedule</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2025-04-11T10:11:03Z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